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08"/>
  <workbookPr/>
  <mc:AlternateContent xmlns:mc="http://schemas.openxmlformats.org/markup-compatibility/2006">
    <mc:Choice Requires="x15">
      <x15ac:absPath xmlns:x15ac="http://schemas.microsoft.com/office/spreadsheetml/2010/11/ac" url="https://gtvault.sharepoint.com/sites/gnc/Shared Documents/Simulations/Ansys/Jet Vanes Rocket/Side Force Characterization/"/>
    </mc:Choice>
  </mc:AlternateContent>
  <xr:revisionPtr revIDLastSave="0" documentId="8_{82D0BA10-B036-4A1A-9AEA-9BD0171B323E}" xr6:coauthVersionLast="47" xr6:coauthVersionMax="47" xr10:uidLastSave="{00000000-0000-0000-0000-000000000000}"/>
  <bookViews>
    <workbookView minimized="1" xWindow="2688" yWindow="2688" windowWidth="9720" windowHeight="10044" firstSheet="3" activeTab="3" xr2:uid="{00000000-000D-0000-FFFF-FFFF00000000}"/>
  </bookViews>
  <sheets>
    <sheet name="6.895" sheetId="1" r:id="rId1"/>
    <sheet name="4.5" sheetId="6" r:id="rId2"/>
    <sheet name="4.0" sheetId="5" r:id="rId3"/>
    <sheet name="ServoBias" sheetId="7" r:id="rId4"/>
    <sheet name="3.5" sheetId="4" r:id="rId5"/>
    <sheet name="3.0" sheetId="3" r:id="rId6"/>
    <sheet name="2.5" sheetId="2" r:id="rId7"/>
  </sheets>
  <definedNames>
    <definedName name="solver_eng" localSheetId="0" hidden="1">1</definedName>
    <definedName name="solver_eng" localSheetId="6" hidden="1">1</definedName>
    <definedName name="solver_eng" localSheetId="5" hidden="1">1</definedName>
    <definedName name="solver_eng" localSheetId="4" hidden="1">1</definedName>
    <definedName name="solver_eng" localSheetId="2" hidden="1">1</definedName>
    <definedName name="solver_eng" localSheetId="1" hidden="1">1</definedName>
    <definedName name="solver_neg" localSheetId="0" hidden="1">1</definedName>
    <definedName name="solver_neg" localSheetId="6" hidden="1">1</definedName>
    <definedName name="solver_neg" localSheetId="5" hidden="1">1</definedName>
    <definedName name="solver_neg" localSheetId="4" hidden="1">1</definedName>
    <definedName name="solver_neg" localSheetId="2" hidden="1">1</definedName>
    <definedName name="solver_neg" localSheetId="1" hidden="1">1</definedName>
    <definedName name="solver_num" localSheetId="0" hidden="1">0</definedName>
    <definedName name="solver_num" localSheetId="6" hidden="1">0</definedName>
    <definedName name="solver_num" localSheetId="5" hidden="1">0</definedName>
    <definedName name="solver_num" localSheetId="4" hidden="1">0</definedName>
    <definedName name="solver_num" localSheetId="2" hidden="1">0</definedName>
    <definedName name="solver_num" localSheetId="1" hidden="1">0</definedName>
    <definedName name="solver_opt" localSheetId="0" hidden="1">'6.895'!$F$1</definedName>
    <definedName name="solver_opt" localSheetId="6" hidden="1">'2.5'!$F$1</definedName>
    <definedName name="solver_opt" localSheetId="5" hidden="1">'3.0'!$F$1</definedName>
    <definedName name="solver_opt" localSheetId="4" hidden="1">'3.5'!$F$1</definedName>
    <definedName name="solver_opt" localSheetId="2" hidden="1">'4.0'!$F$1</definedName>
    <definedName name="solver_opt" localSheetId="1" hidden="1">'4.5'!$F$1</definedName>
    <definedName name="solver_typ" localSheetId="0" hidden="1">1</definedName>
    <definedName name="solver_typ" localSheetId="6" hidden="1">1</definedName>
    <definedName name="solver_typ" localSheetId="5" hidden="1">1</definedName>
    <definedName name="solver_typ" localSheetId="4" hidden="1">1</definedName>
    <definedName name="solver_typ" localSheetId="2" hidden="1">1</definedName>
    <definedName name="solver_typ" localSheetId="1" hidden="1">1</definedName>
    <definedName name="solver_val" localSheetId="0" hidden="1">0</definedName>
    <definedName name="solver_val" localSheetId="6" hidden="1">0</definedName>
    <definedName name="solver_val" localSheetId="5" hidden="1">0</definedName>
    <definedName name="solver_val" localSheetId="4" hidden="1">0</definedName>
    <definedName name="solver_val" localSheetId="2" hidden="1">0</definedName>
    <definedName name="solver_val" localSheetId="1" hidden="1">0</definedName>
    <definedName name="solver_ver" localSheetId="0" hidden="1">3</definedName>
    <definedName name="solver_ver" localSheetId="6" hidden="1">3</definedName>
    <definedName name="solver_ver" localSheetId="5" hidden="1">3</definedName>
    <definedName name="solver_ver" localSheetId="4" hidden="1">3</definedName>
    <definedName name="solver_ver" localSheetId="2" hidden="1">3</definedName>
    <definedName name="solver_ver" localSheetId="1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  <c r="D6" i="3"/>
  <c r="D5" i="3"/>
  <c r="D4" i="3"/>
  <c r="D3" i="3"/>
  <c r="D2" i="3"/>
  <c r="D6" i="4"/>
  <c r="D5" i="4"/>
  <c r="D4" i="4"/>
  <c r="D3" i="4"/>
  <c r="D2" i="4"/>
  <c r="D6" i="5"/>
  <c r="D5" i="5"/>
  <c r="D4" i="5"/>
  <c r="D3" i="5"/>
  <c r="D2" i="5"/>
  <c r="D6" i="6"/>
  <c r="D5" i="6"/>
  <c r="D4" i="6"/>
  <c r="D3" i="6"/>
  <c r="D2" i="6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<sst xmlns="http://schemas.openxmlformats.org/spreadsheetml/2006/main" count="42" uniqueCount="17">
  <si>
    <t>Vane_Deflection_Angle</t>
  </si>
  <si>
    <t>Side_Force_On_Two_Vanes</t>
  </si>
  <si>
    <t xml:space="preserve">Total_Thrust </t>
  </si>
  <si>
    <t>Side_Thrust_Perc</t>
  </si>
  <si>
    <t xml:space="preserve">Static Pressure: </t>
  </si>
  <si>
    <t>Total Pressure: 6904289.0996 Pa</t>
  </si>
  <si>
    <t>Total Pressure: 4.519908e+06 Pa</t>
  </si>
  <si>
    <t>Total Pressure: 4.017696e+06 Pa</t>
  </si>
  <si>
    <t>Distr.</t>
  </si>
  <si>
    <t>Mean</t>
  </si>
  <si>
    <t>3Sigma</t>
  </si>
  <si>
    <t>minTPeak</t>
  </si>
  <si>
    <t>maxTPeak</t>
  </si>
  <si>
    <t>Normal</t>
  </si>
  <si>
    <t>Total Pressure: 3.515484e+06 Pa</t>
  </si>
  <si>
    <t>Total Pressure: 3.0132722e+06 Pa</t>
  </si>
  <si>
    <t>Total Pressure: 2.511060e+06 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</si>
</sst>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charset val="1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1" fillId="0" borderId="0" xfId="0" applyNumberFormat="1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6"/>
  <sheetViews>
    <sheetView workbookViewId="0">
      <selection activeCell="D1" activeCellId="1" sqref="A1 D1"/>
    </sheetView>
  </sheetViews>
  <sheetFormatPr defaultRowHeight="14.45"/>
  <cols>
    <col min="1" max="1" width="25.42578125" customWidth="1"/>
    <col min="2" max="2" width="28.28515625" customWidth="1"/>
    <col min="3" max="3" width="25.140625" customWidth="1"/>
    <col min="4" max="4" width="20.5703125" customWidth="1"/>
    <col min="5" max="5" width="16.140625" customWidth="1"/>
    <col min="6" max="6" width="44.140625" customWidth="1"/>
    <col min="7" max="7" width="13.85546875" customWidth="1"/>
    <col min="8" max="8" width="9.28515625" bestFit="1" customWidth="1"/>
  </cols>
  <sheetData>
    <row r="1" spans="1:8" ht="15">
      <c r="A1" s="8" t="s">
        <v>0</v>
      </c>
      <c r="B1" s="5" t="s">
        <v>1</v>
      </c>
      <c r="C1" s="5" t="s">
        <v>2</v>
      </c>
      <c r="D1" s="8" t="s">
        <v>3</v>
      </c>
      <c r="E1" s="6"/>
      <c r="F1" t="s">
        <v>4</v>
      </c>
      <c r="G1">
        <v>6895000</v>
      </c>
      <c r="H1" t="s">
        <v>5</v>
      </c>
    </row>
    <row r="2" spans="1:8" ht="15">
      <c r="A2" s="5">
        <v>0</v>
      </c>
      <c r="B2" s="5">
        <v>0</v>
      </c>
      <c r="C2" s="5">
        <v>3841.6</v>
      </c>
      <c r="D2" s="5">
        <f>(B2/C2)*100</f>
        <v>0</v>
      </c>
      <c r="E2" s="1"/>
      <c r="F2" s="1"/>
    </row>
    <row r="3" spans="1:8" ht="15">
      <c r="A3" s="5">
        <v>10</v>
      </c>
      <c r="B3" s="5">
        <v>127.5766</v>
      </c>
      <c r="C3" s="5">
        <v>3841.6</v>
      </c>
      <c r="D3" s="5">
        <f t="shared" ref="D3:D9" si="0">(B3/C3)*100</f>
        <v>3.3209235735110374</v>
      </c>
      <c r="E3" s="1"/>
      <c r="F3" s="1"/>
    </row>
    <row r="4" spans="1:8" ht="15">
      <c r="A4" s="5">
        <v>20</v>
      </c>
      <c r="B4" s="5">
        <v>235.27734000000001</v>
      </c>
      <c r="C4" s="5">
        <v>3841.6</v>
      </c>
      <c r="D4" s="5">
        <f t="shared" si="0"/>
        <v>6.1244622032486467</v>
      </c>
      <c r="E4" s="1"/>
      <c r="F4" s="1"/>
    </row>
    <row r="5" spans="1:8" ht="15">
      <c r="A5" s="5">
        <v>30</v>
      </c>
      <c r="B5" s="5">
        <v>317.58539000000002</v>
      </c>
      <c r="C5" s="5">
        <v>3841.6</v>
      </c>
      <c r="D5" s="5">
        <f t="shared" si="0"/>
        <v>8.2670082778009171</v>
      </c>
      <c r="E5" s="1"/>
      <c r="F5" s="1"/>
    </row>
    <row r="6" spans="1:8" ht="15">
      <c r="A6" s="5">
        <v>35</v>
      </c>
      <c r="B6" s="5">
        <v>333.60617000000002</v>
      </c>
      <c r="C6" s="5">
        <v>3841.6</v>
      </c>
      <c r="D6" s="5">
        <f t="shared" si="0"/>
        <v>8.6840423261141186</v>
      </c>
      <c r="E6" s="1"/>
      <c r="F6" s="1"/>
    </row>
    <row r="7" spans="1:8" ht="15">
      <c r="A7" s="5">
        <v>40</v>
      </c>
      <c r="B7" s="5">
        <v>347.61944</v>
      </c>
      <c r="C7" s="5">
        <v>3841.6</v>
      </c>
      <c r="D7" s="5">
        <f t="shared" si="0"/>
        <v>9.0488192419825069</v>
      </c>
      <c r="E7" s="1"/>
      <c r="F7" s="1"/>
    </row>
    <row r="8" spans="1:8" ht="15">
      <c r="A8" s="5">
        <v>45</v>
      </c>
      <c r="B8" s="5">
        <v>352.39632</v>
      </c>
      <c r="C8" s="5">
        <v>3841.6</v>
      </c>
      <c r="D8" s="5">
        <f t="shared" si="0"/>
        <v>9.1731653477717625</v>
      </c>
      <c r="E8" s="1"/>
      <c r="F8" s="1"/>
    </row>
    <row r="9" spans="1:8" ht="15">
      <c r="A9" s="5">
        <v>55</v>
      </c>
      <c r="B9" s="5">
        <v>321.74705999999998</v>
      </c>
      <c r="C9" s="5">
        <v>3841.6</v>
      </c>
      <c r="D9" s="5">
        <f t="shared" si="0"/>
        <v>8.3753399625156177</v>
      </c>
      <c r="E9" s="1"/>
      <c r="F9" s="1"/>
    </row>
    <row r="10" spans="1:8" ht="15">
      <c r="E10" s="1"/>
      <c r="F10" s="1"/>
    </row>
    <row r="11" spans="1:8" ht="15"/>
    <row r="14" spans="1:8">
      <c r="A14" s="1"/>
      <c r="B14" s="1"/>
      <c r="C14" s="1"/>
      <c r="D14" s="1"/>
    </row>
    <row r="15" spans="1:8">
      <c r="A15" s="1"/>
      <c r="C15" s="2"/>
      <c r="D15" s="1"/>
    </row>
    <row r="16" spans="1:8">
      <c r="A16" s="1"/>
      <c r="C16" s="2"/>
      <c r="D16" s="1"/>
    </row>
    <row r="17" spans="1:4">
      <c r="A17" s="1"/>
      <c r="C17" s="2"/>
      <c r="D17" s="1"/>
    </row>
    <row r="18" spans="1:4">
      <c r="A18" s="1"/>
      <c r="C18" s="2"/>
      <c r="D18" s="1"/>
    </row>
    <row r="19" spans="1:4">
      <c r="A19" s="1"/>
      <c r="B19" s="4"/>
      <c r="C19" s="2"/>
      <c r="D19" s="1"/>
    </row>
    <row r="20" spans="1:4">
      <c r="A20" s="1"/>
      <c r="C20" s="2"/>
      <c r="D20" s="1"/>
    </row>
    <row r="21" spans="1:4">
      <c r="A21" s="1"/>
      <c r="C21" s="2"/>
      <c r="D21" s="1"/>
    </row>
    <row r="22" spans="1:4">
      <c r="A22" s="1"/>
      <c r="C22" s="2"/>
      <c r="D22" s="1"/>
    </row>
    <row r="25" spans="1:4">
      <c r="A25" s="1"/>
      <c r="B25" s="1"/>
      <c r="C25" s="1"/>
      <c r="D25" s="1"/>
    </row>
    <row r="26" spans="1:4">
      <c r="A26" s="1"/>
      <c r="C26" s="2"/>
      <c r="D26" s="1"/>
    </row>
    <row r="27" spans="1:4">
      <c r="A27" s="1"/>
      <c r="C27" s="2"/>
      <c r="D27" s="1"/>
    </row>
    <row r="28" spans="1:4">
      <c r="A28" s="1"/>
      <c r="B28" s="3"/>
      <c r="C28" s="2"/>
      <c r="D28" s="1"/>
    </row>
    <row r="29" spans="1:4">
      <c r="A29" s="1"/>
      <c r="C29" s="2"/>
      <c r="D29" s="1"/>
    </row>
    <row r="30" spans="1:4">
      <c r="A30" s="1"/>
      <c r="C30" s="2"/>
      <c r="D30" s="1"/>
    </row>
    <row r="31" spans="1:4">
      <c r="A31" s="1"/>
      <c r="C31" s="2"/>
      <c r="D31" s="1"/>
    </row>
    <row r="32" spans="1:4">
      <c r="A32" s="1"/>
      <c r="C32" s="2"/>
      <c r="D32" s="1"/>
    </row>
    <row r="33" spans="1:4">
      <c r="A33" s="1"/>
      <c r="C33" s="2"/>
      <c r="D33" s="1"/>
    </row>
    <row r="36" spans="1:4">
      <c r="A36" s="1"/>
      <c r="B36" s="1"/>
      <c r="C36" s="1"/>
      <c r="D36" s="1"/>
    </row>
    <row r="37" spans="1:4">
      <c r="A37" s="1"/>
      <c r="C37" s="2"/>
      <c r="D37" s="1"/>
    </row>
    <row r="38" spans="1:4">
      <c r="A38" s="1"/>
      <c r="C38" s="2"/>
      <c r="D38" s="1"/>
    </row>
    <row r="39" spans="1:4">
      <c r="A39" s="1"/>
      <c r="C39" s="2"/>
      <c r="D39" s="1"/>
    </row>
    <row r="40" spans="1:4">
      <c r="A40" s="1"/>
      <c r="C40" s="2"/>
      <c r="D40" s="1"/>
    </row>
    <row r="41" spans="1:4">
      <c r="A41" s="1"/>
      <c r="C41" s="2"/>
      <c r="D41" s="1"/>
    </row>
    <row r="42" spans="1:4">
      <c r="A42" s="1"/>
      <c r="C42" s="2"/>
      <c r="D42" s="1"/>
    </row>
    <row r="43" spans="1:4">
      <c r="A43" s="1"/>
      <c r="C43" s="2"/>
      <c r="D43" s="1"/>
    </row>
    <row r="44" spans="1:4">
      <c r="A44" s="1"/>
      <c r="C44" s="2"/>
      <c r="D44" s="1"/>
    </row>
    <row r="47" spans="1:4">
      <c r="A47" s="1"/>
      <c r="B47" s="1"/>
      <c r="C47" s="1"/>
      <c r="D47" s="1"/>
    </row>
    <row r="48" spans="1:4">
      <c r="A48" s="1"/>
      <c r="C48" s="2"/>
      <c r="D48" s="1"/>
    </row>
    <row r="49" spans="1:4">
      <c r="A49" s="1"/>
      <c r="C49" s="2"/>
      <c r="D49" s="1"/>
    </row>
    <row r="50" spans="1:4">
      <c r="A50" s="1"/>
      <c r="C50" s="2"/>
      <c r="D50" s="1"/>
    </row>
    <row r="51" spans="1:4">
      <c r="A51" s="1"/>
      <c r="C51" s="2"/>
      <c r="D51" s="1"/>
    </row>
    <row r="52" spans="1:4">
      <c r="A52" s="1"/>
      <c r="C52" s="2"/>
      <c r="D52" s="1"/>
    </row>
    <row r="53" spans="1:4">
      <c r="A53" s="1"/>
      <c r="C53" s="2"/>
      <c r="D53" s="1"/>
    </row>
    <row r="54" spans="1:4">
      <c r="A54" s="1"/>
      <c r="C54" s="2"/>
      <c r="D54" s="1"/>
    </row>
    <row r="55" spans="1:4">
      <c r="A55" s="1"/>
      <c r="C55" s="2"/>
      <c r="D55" s="1"/>
    </row>
    <row r="58" spans="1:4">
      <c r="A58" s="1"/>
      <c r="B58" s="1"/>
      <c r="C58" s="1"/>
      <c r="D58" s="1"/>
    </row>
    <row r="59" spans="1:4">
      <c r="A59" s="1"/>
      <c r="C59" s="2"/>
      <c r="D59" s="1"/>
    </row>
    <row r="60" spans="1:4">
      <c r="A60" s="1"/>
      <c r="C60" s="2"/>
      <c r="D60" s="1"/>
    </row>
    <row r="61" spans="1:4">
      <c r="A61" s="1"/>
      <c r="C61" s="2"/>
      <c r="D61" s="1"/>
    </row>
    <row r="62" spans="1:4">
      <c r="A62" s="1"/>
      <c r="C62" s="2"/>
      <c r="D62" s="1"/>
    </row>
    <row r="63" spans="1:4">
      <c r="A63" s="1"/>
      <c r="C63" s="2"/>
      <c r="D63" s="1"/>
    </row>
    <row r="64" spans="1:4">
      <c r="A64" s="1"/>
      <c r="C64" s="2"/>
      <c r="D64" s="1"/>
    </row>
    <row r="65" spans="1:4">
      <c r="A65" s="1"/>
      <c r="C65" s="2"/>
      <c r="D65" s="1"/>
    </row>
    <row r="66" spans="1:4">
      <c r="A66" s="1"/>
      <c r="C66" s="2"/>
      <c r="D66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65006-43BF-4BBF-87C7-970920FF6B7C}">
  <dimension ref="A1:H66"/>
  <sheetViews>
    <sheetView workbookViewId="0">
      <selection activeCell="D1" activeCellId="1" sqref="A1 D1"/>
    </sheetView>
  </sheetViews>
  <sheetFormatPr defaultRowHeight="15"/>
  <cols>
    <col min="1" max="1" width="25.42578125" customWidth="1"/>
    <col min="2" max="2" width="28.28515625" customWidth="1"/>
    <col min="3" max="3" width="25.140625" customWidth="1"/>
    <col min="4" max="4" width="20.5703125" customWidth="1"/>
    <col min="5" max="5" width="16.140625" customWidth="1"/>
    <col min="6" max="6" width="44.140625" customWidth="1"/>
    <col min="7" max="7" width="13.85546875" customWidth="1"/>
    <col min="8" max="8" width="9.28515625" bestFit="1" customWidth="1"/>
  </cols>
  <sheetData>
    <row r="1" spans="1:8">
      <c r="A1" s="8" t="s">
        <v>0</v>
      </c>
      <c r="B1" s="5" t="s">
        <v>1</v>
      </c>
      <c r="C1" s="5" t="s">
        <v>2</v>
      </c>
      <c r="D1" s="8" t="s">
        <v>3</v>
      </c>
      <c r="E1" s="6"/>
      <c r="F1" t="s">
        <v>4</v>
      </c>
      <c r="G1">
        <v>4500000</v>
      </c>
      <c r="H1" t="s">
        <v>6</v>
      </c>
    </row>
    <row r="2" spans="1:8">
      <c r="A2" s="1">
        <v>0</v>
      </c>
      <c r="B2">
        <v>0</v>
      </c>
      <c r="C2" s="2">
        <v>2507.1999999999998</v>
      </c>
      <c r="D2" s="1">
        <f>(B2/C2)*100</f>
        <v>0</v>
      </c>
      <c r="E2" s="7"/>
      <c r="F2" s="1"/>
    </row>
    <row r="3" spans="1:8">
      <c r="A3" s="1">
        <v>10</v>
      </c>
      <c r="B3">
        <v>116.16786999999999</v>
      </c>
      <c r="C3" s="2">
        <v>2507.1999999999998</v>
      </c>
      <c r="D3" s="1">
        <f>(B3/C3)*100</f>
        <v>4.6333706924058715</v>
      </c>
      <c r="E3" s="7"/>
      <c r="F3" s="1"/>
    </row>
    <row r="4" spans="1:8">
      <c r="A4" s="1">
        <v>20</v>
      </c>
      <c r="B4">
        <v>157.09138999999999</v>
      </c>
      <c r="C4" s="2">
        <v>2507.1999999999998</v>
      </c>
      <c r="D4" s="1">
        <f>(B4/C4)*100</f>
        <v>6.2656106413529038</v>
      </c>
      <c r="E4" s="7"/>
      <c r="F4" s="1"/>
    </row>
    <row r="5" spans="1:8">
      <c r="A5" s="1">
        <v>30</v>
      </c>
      <c r="B5">
        <v>203.49905999999999</v>
      </c>
      <c r="C5" s="2">
        <v>2507.1999999999998</v>
      </c>
      <c r="D5" s="1">
        <f>(B5/C5)*100</f>
        <v>8.1165866305041483</v>
      </c>
      <c r="E5" s="7"/>
      <c r="F5" s="1"/>
    </row>
    <row r="6" spans="1:8">
      <c r="A6" s="1">
        <v>35</v>
      </c>
      <c r="B6" s="4">
        <v>218.68545</v>
      </c>
      <c r="C6" s="2">
        <v>2507.1999999999998</v>
      </c>
      <c r="D6" s="1">
        <f>(B6/C6)*100</f>
        <v>8.7222977823867271</v>
      </c>
      <c r="E6" s="7"/>
      <c r="F6" s="1"/>
    </row>
    <row r="7" spans="1:8">
      <c r="A7" s="5"/>
      <c r="B7" s="5"/>
      <c r="C7" s="5"/>
      <c r="D7" s="5"/>
      <c r="E7" s="1"/>
      <c r="F7" s="1"/>
    </row>
    <row r="8" spans="1:8">
      <c r="A8" s="5"/>
      <c r="B8" s="5"/>
      <c r="C8" s="5"/>
      <c r="D8" s="5"/>
      <c r="E8" s="1"/>
      <c r="F8" s="1"/>
    </row>
    <row r="9" spans="1:8">
      <c r="A9" s="5"/>
      <c r="B9" s="5"/>
      <c r="C9" s="5"/>
      <c r="D9" s="5"/>
      <c r="E9" s="1"/>
      <c r="F9" s="1"/>
    </row>
    <row r="10" spans="1:8">
      <c r="E10" s="1"/>
      <c r="F10" s="1"/>
    </row>
    <row r="14" spans="1:8" ht="14.45">
      <c r="A14" s="1"/>
      <c r="B14" s="1"/>
      <c r="C14" s="1"/>
      <c r="D14" s="1"/>
    </row>
    <row r="15" spans="1:8" ht="14.45">
      <c r="A15" s="1"/>
      <c r="C15" s="2"/>
      <c r="D15" s="1"/>
    </row>
    <row r="16" spans="1:8" ht="14.45">
      <c r="A16" s="1"/>
      <c r="C16" s="2"/>
      <c r="D16" s="1"/>
    </row>
    <row r="17" spans="1:4" ht="14.45">
      <c r="A17" s="1"/>
      <c r="C17" s="2"/>
      <c r="D17" s="1"/>
    </row>
    <row r="18" spans="1:4" ht="14.45">
      <c r="A18" s="1"/>
      <c r="C18" s="2"/>
      <c r="D18" s="1"/>
    </row>
    <row r="19" spans="1:4" ht="14.45">
      <c r="A19" s="1"/>
      <c r="B19" s="4"/>
      <c r="C19" s="2"/>
      <c r="D19" s="1"/>
    </row>
    <row r="20" spans="1:4" ht="14.45">
      <c r="A20" s="1"/>
      <c r="C20" s="2"/>
      <c r="D20" s="1"/>
    </row>
    <row r="21" spans="1:4" ht="14.45">
      <c r="A21" s="1"/>
      <c r="C21" s="2"/>
      <c r="D21" s="1"/>
    </row>
    <row r="22" spans="1:4" ht="14.45">
      <c r="A22" s="1"/>
      <c r="C22" s="2"/>
      <c r="D22" s="1"/>
    </row>
    <row r="25" spans="1:4" ht="14.45">
      <c r="A25" s="1"/>
      <c r="B25" s="1"/>
      <c r="C25" s="1"/>
      <c r="D25" s="1"/>
    </row>
    <row r="26" spans="1:4" ht="14.45">
      <c r="A26" s="1"/>
      <c r="C26" s="2"/>
      <c r="D26" s="1"/>
    </row>
    <row r="27" spans="1:4" ht="14.45">
      <c r="A27" s="1"/>
      <c r="C27" s="2"/>
      <c r="D27" s="1"/>
    </row>
    <row r="28" spans="1:4" ht="14.45">
      <c r="A28" s="1"/>
      <c r="B28" s="3"/>
      <c r="C28" s="2"/>
      <c r="D28" s="1"/>
    </row>
    <row r="29" spans="1:4" ht="14.45">
      <c r="A29" s="1"/>
      <c r="C29" s="2"/>
      <c r="D29" s="1"/>
    </row>
    <row r="30" spans="1:4" ht="14.45">
      <c r="A30" s="1"/>
      <c r="C30" s="2"/>
      <c r="D30" s="1"/>
    </row>
    <row r="31" spans="1:4" ht="14.45">
      <c r="A31" s="1"/>
      <c r="C31" s="2"/>
      <c r="D31" s="1"/>
    </row>
    <row r="32" spans="1:4" ht="14.45">
      <c r="A32" s="1"/>
      <c r="C32" s="2"/>
      <c r="D32" s="1"/>
    </row>
    <row r="33" spans="1:4" ht="14.45">
      <c r="A33" s="1"/>
      <c r="C33" s="2"/>
      <c r="D33" s="1"/>
    </row>
    <row r="36" spans="1:4" ht="14.45">
      <c r="A36" s="1"/>
      <c r="B36" s="1"/>
      <c r="C36" s="1"/>
      <c r="D36" s="1"/>
    </row>
    <row r="37" spans="1:4" ht="14.45">
      <c r="A37" s="1"/>
      <c r="C37" s="2"/>
      <c r="D37" s="1"/>
    </row>
    <row r="38" spans="1:4" ht="14.45">
      <c r="A38" s="1"/>
      <c r="C38" s="2"/>
      <c r="D38" s="1"/>
    </row>
    <row r="39" spans="1:4" ht="14.45">
      <c r="A39" s="1"/>
      <c r="C39" s="2"/>
      <c r="D39" s="1"/>
    </row>
    <row r="40" spans="1:4" ht="14.45">
      <c r="A40" s="1"/>
      <c r="C40" s="2"/>
      <c r="D40" s="1"/>
    </row>
    <row r="41" spans="1:4" ht="14.45">
      <c r="A41" s="1"/>
      <c r="C41" s="2"/>
      <c r="D41" s="1"/>
    </row>
    <row r="42" spans="1:4" ht="14.45">
      <c r="A42" s="1"/>
      <c r="C42" s="2"/>
      <c r="D42" s="1"/>
    </row>
    <row r="43" spans="1:4" ht="14.45">
      <c r="A43" s="1"/>
      <c r="C43" s="2"/>
      <c r="D43" s="1"/>
    </row>
    <row r="44" spans="1:4" ht="14.45">
      <c r="A44" s="1"/>
      <c r="C44" s="2"/>
      <c r="D44" s="1"/>
    </row>
    <row r="47" spans="1:4" ht="14.45">
      <c r="A47" s="1"/>
      <c r="B47" s="1"/>
      <c r="C47" s="1"/>
      <c r="D47" s="1"/>
    </row>
    <row r="48" spans="1:4" ht="14.45">
      <c r="A48" s="1"/>
      <c r="C48" s="2"/>
      <c r="D48" s="1"/>
    </row>
    <row r="49" spans="1:4" ht="14.45">
      <c r="A49" s="1"/>
      <c r="C49" s="2"/>
      <c r="D49" s="1"/>
    </row>
    <row r="50" spans="1:4" ht="14.45">
      <c r="A50" s="1"/>
      <c r="C50" s="2"/>
      <c r="D50" s="1"/>
    </row>
    <row r="51" spans="1:4" ht="14.45">
      <c r="A51" s="1"/>
      <c r="C51" s="2"/>
      <c r="D51" s="1"/>
    </row>
    <row r="52" spans="1:4" ht="14.45">
      <c r="A52" s="1"/>
      <c r="C52" s="2"/>
      <c r="D52" s="1"/>
    </row>
    <row r="53" spans="1:4" ht="14.45">
      <c r="A53" s="1"/>
      <c r="C53" s="2"/>
      <c r="D53" s="1"/>
    </row>
    <row r="54" spans="1:4" ht="14.45">
      <c r="A54" s="1"/>
      <c r="C54" s="2"/>
      <c r="D54" s="1"/>
    </row>
    <row r="55" spans="1:4" ht="14.45">
      <c r="A55" s="1"/>
      <c r="C55" s="2"/>
      <c r="D55" s="1"/>
    </row>
    <row r="58" spans="1:4" ht="14.45">
      <c r="A58" s="1"/>
      <c r="B58" s="1"/>
      <c r="C58" s="1"/>
      <c r="D58" s="1"/>
    </row>
    <row r="59" spans="1:4" ht="14.45">
      <c r="A59" s="1"/>
      <c r="C59" s="2"/>
      <c r="D59" s="1"/>
    </row>
    <row r="60" spans="1:4" ht="14.45">
      <c r="A60" s="1"/>
      <c r="C60" s="2"/>
      <c r="D60" s="1"/>
    </row>
    <row r="61" spans="1:4" ht="14.45">
      <c r="A61" s="1"/>
      <c r="C61" s="2"/>
      <c r="D61" s="1"/>
    </row>
    <row r="62" spans="1:4" ht="14.45">
      <c r="A62" s="1"/>
      <c r="C62" s="2"/>
      <c r="D62" s="1"/>
    </row>
    <row r="63" spans="1:4" ht="14.45">
      <c r="A63" s="1"/>
      <c r="C63" s="2"/>
      <c r="D63" s="1"/>
    </row>
    <row r="64" spans="1:4" ht="14.45">
      <c r="A64" s="1"/>
      <c r="C64" s="2"/>
      <c r="D64" s="1"/>
    </row>
    <row r="65" spans="1:4" ht="14.45">
      <c r="A65" s="1"/>
      <c r="C65" s="2"/>
      <c r="D65" s="1"/>
    </row>
    <row r="66" spans="1:4" ht="14.45">
      <c r="A66" s="1"/>
      <c r="C66" s="2"/>
      <c r="D66" s="1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6E29-A6CA-4036-A768-43FED90F3E0C}">
  <dimension ref="A1:H66"/>
  <sheetViews>
    <sheetView workbookViewId="0">
      <selection activeCell="E12" sqref="E12"/>
    </sheetView>
  </sheetViews>
  <sheetFormatPr defaultRowHeight="15"/>
  <cols>
    <col min="1" max="1" width="25.42578125" customWidth="1"/>
    <col min="2" max="2" width="28.28515625" customWidth="1"/>
    <col min="3" max="3" width="25.140625" customWidth="1"/>
    <col min="4" max="4" width="20.5703125" customWidth="1"/>
    <col min="5" max="5" width="16.140625" customWidth="1"/>
    <col min="6" max="6" width="44.140625" customWidth="1"/>
    <col min="7" max="7" width="13.85546875" customWidth="1"/>
    <col min="8" max="8" width="9.28515625" bestFit="1" customWidth="1"/>
  </cols>
  <sheetData>
    <row r="1" spans="1:8">
      <c r="A1" s="8" t="s">
        <v>0</v>
      </c>
      <c r="B1" s="5" t="s">
        <v>1</v>
      </c>
      <c r="C1" s="5" t="s">
        <v>2</v>
      </c>
      <c r="D1" s="8" t="s">
        <v>3</v>
      </c>
      <c r="E1" s="6"/>
      <c r="F1" t="s">
        <v>4</v>
      </c>
      <c r="G1">
        <v>4000000</v>
      </c>
      <c r="H1" t="s">
        <v>7</v>
      </c>
    </row>
    <row r="2" spans="1:8">
      <c r="A2" s="1">
        <v>0</v>
      </c>
      <c r="B2">
        <v>0</v>
      </c>
      <c r="C2" s="2">
        <v>2228.6</v>
      </c>
      <c r="D2" s="1">
        <f>(B2/C2)*100</f>
        <v>0</v>
      </c>
      <c r="E2" s="7"/>
      <c r="F2" s="1"/>
    </row>
    <row r="3" spans="1:8">
      <c r="A3" s="1">
        <v>10</v>
      </c>
      <c r="B3">
        <v>111.56507999999999</v>
      </c>
      <c r="C3" s="2">
        <v>2228.6</v>
      </c>
      <c r="D3" s="1">
        <f>(B3/C3)*100</f>
        <v>5.006061204343534</v>
      </c>
      <c r="E3" s="7"/>
      <c r="F3" s="1"/>
    </row>
    <row r="4" spans="1:8">
      <c r="A4" s="1">
        <v>20</v>
      </c>
      <c r="B4" s="3">
        <v>140.38798</v>
      </c>
      <c r="C4" s="2">
        <v>2228.6</v>
      </c>
      <c r="D4" s="1">
        <f>(B4/C4)*100</f>
        <v>6.2993798797451319</v>
      </c>
      <c r="E4" s="7"/>
      <c r="F4" s="1"/>
    </row>
    <row r="5" spans="1:8">
      <c r="A5" s="1">
        <v>30</v>
      </c>
      <c r="B5">
        <v>178.929</v>
      </c>
      <c r="C5" s="2">
        <v>2228.6</v>
      </c>
      <c r="D5" s="1">
        <f>(B5/C5)*100</f>
        <v>8.0287624517634395</v>
      </c>
      <c r="E5" s="7"/>
      <c r="F5" s="1"/>
    </row>
    <row r="6" spans="1:8">
      <c r="A6" s="1">
        <v>35</v>
      </c>
      <c r="B6">
        <v>192.5736</v>
      </c>
      <c r="C6" s="2">
        <v>2228.6</v>
      </c>
      <c r="D6" s="1">
        <f>(B6/C6)*100</f>
        <v>8.6410122947141712</v>
      </c>
      <c r="E6" s="7"/>
      <c r="F6" s="1"/>
    </row>
    <row r="7" spans="1:8">
      <c r="E7" s="1"/>
      <c r="F7" s="1"/>
    </row>
    <row r="8" spans="1:8">
      <c r="E8" s="1"/>
      <c r="F8" s="1"/>
    </row>
    <row r="9" spans="1:8">
      <c r="E9" s="1"/>
      <c r="F9" s="1"/>
    </row>
    <row r="10" spans="1:8">
      <c r="E10" s="1"/>
      <c r="F10" s="1"/>
    </row>
    <row r="14" spans="1:8" ht="14.45">
      <c r="A14" s="1"/>
      <c r="B14" s="1"/>
      <c r="C14" s="1"/>
      <c r="D14" s="1"/>
    </row>
    <row r="15" spans="1:8" ht="14.45">
      <c r="A15" s="1"/>
      <c r="C15" s="2"/>
      <c r="D15" s="1"/>
    </row>
    <row r="16" spans="1:8" ht="14.45">
      <c r="A16" s="1"/>
      <c r="C16" s="2"/>
      <c r="D16" s="1"/>
    </row>
    <row r="17" spans="1:4" ht="14.45">
      <c r="A17" s="1"/>
      <c r="C17" s="2"/>
      <c r="D17" s="1"/>
    </row>
    <row r="18" spans="1:4" ht="14.45">
      <c r="A18" s="1"/>
      <c r="C18" s="2"/>
      <c r="D18" s="1"/>
    </row>
    <row r="19" spans="1:4" ht="14.45">
      <c r="A19" s="1"/>
      <c r="B19" s="4"/>
      <c r="C19" s="2"/>
      <c r="D19" s="1"/>
    </row>
    <row r="20" spans="1:4" ht="14.45">
      <c r="A20" s="1"/>
      <c r="C20" s="2"/>
      <c r="D20" s="1"/>
    </row>
    <row r="21" spans="1:4" ht="14.45">
      <c r="A21" s="1"/>
      <c r="C21" s="2"/>
      <c r="D21" s="1"/>
    </row>
    <row r="22" spans="1:4" ht="14.45">
      <c r="A22" s="1"/>
      <c r="C22" s="2"/>
      <c r="D22" s="1"/>
    </row>
    <row r="25" spans="1:4" ht="14.45">
      <c r="A25" s="1"/>
      <c r="B25" s="1"/>
      <c r="C25" s="1"/>
      <c r="D25" s="1"/>
    </row>
    <row r="26" spans="1:4" ht="14.45">
      <c r="A26" s="1"/>
      <c r="C26" s="2"/>
      <c r="D26" s="1"/>
    </row>
    <row r="27" spans="1:4" ht="14.45">
      <c r="A27" s="1"/>
      <c r="C27" s="2"/>
      <c r="D27" s="1"/>
    </row>
    <row r="28" spans="1:4" ht="14.45">
      <c r="A28" s="1"/>
      <c r="B28" s="3"/>
      <c r="C28" s="2"/>
      <c r="D28" s="1"/>
    </row>
    <row r="29" spans="1:4" ht="14.45">
      <c r="A29" s="1"/>
      <c r="C29" s="2"/>
      <c r="D29" s="1"/>
    </row>
    <row r="30" spans="1:4" ht="14.45">
      <c r="A30" s="1"/>
      <c r="C30" s="2"/>
      <c r="D30" s="1"/>
    </row>
    <row r="31" spans="1:4" ht="14.45">
      <c r="A31" s="1"/>
      <c r="C31" s="2"/>
      <c r="D31" s="1"/>
    </row>
    <row r="32" spans="1:4" ht="14.45">
      <c r="A32" s="1"/>
      <c r="C32" s="2"/>
      <c r="D32" s="1"/>
    </row>
    <row r="33" spans="1:4" ht="14.45">
      <c r="A33" s="1"/>
      <c r="C33" s="2"/>
      <c r="D33" s="1"/>
    </row>
    <row r="36" spans="1:4" ht="14.45">
      <c r="A36" s="1"/>
      <c r="B36" s="1"/>
      <c r="C36" s="1"/>
      <c r="D36" s="1"/>
    </row>
    <row r="37" spans="1:4" ht="14.45">
      <c r="A37" s="1"/>
      <c r="C37" s="2"/>
      <c r="D37" s="1"/>
    </row>
    <row r="38" spans="1:4" ht="14.45">
      <c r="A38" s="1"/>
      <c r="C38" s="2"/>
      <c r="D38" s="1"/>
    </row>
    <row r="39" spans="1:4" ht="14.45">
      <c r="A39" s="1"/>
      <c r="C39" s="2"/>
      <c r="D39" s="1"/>
    </row>
    <row r="40" spans="1:4" ht="14.45">
      <c r="A40" s="1"/>
      <c r="C40" s="2"/>
      <c r="D40" s="1"/>
    </row>
    <row r="41" spans="1:4" ht="14.45">
      <c r="A41" s="1"/>
      <c r="C41" s="2"/>
      <c r="D41" s="1"/>
    </row>
    <row r="42" spans="1:4" ht="14.45">
      <c r="A42" s="1"/>
      <c r="C42" s="2"/>
      <c r="D42" s="1"/>
    </row>
    <row r="43" spans="1:4" ht="14.45">
      <c r="A43" s="1"/>
      <c r="C43" s="2"/>
      <c r="D43" s="1"/>
    </row>
    <row r="44" spans="1:4" ht="14.45">
      <c r="A44" s="1"/>
      <c r="C44" s="2"/>
      <c r="D44" s="1"/>
    </row>
    <row r="47" spans="1:4" ht="14.45">
      <c r="A47" s="1"/>
      <c r="B47" s="1"/>
      <c r="C47" s="1"/>
      <c r="D47" s="1"/>
    </row>
    <row r="48" spans="1:4" ht="14.45">
      <c r="A48" s="1"/>
      <c r="C48" s="2"/>
      <c r="D48" s="1"/>
    </row>
    <row r="49" spans="1:4" ht="14.45">
      <c r="A49" s="1"/>
      <c r="C49" s="2"/>
      <c r="D49" s="1"/>
    </row>
    <row r="50" spans="1:4" ht="14.45">
      <c r="A50" s="1"/>
      <c r="C50" s="2"/>
      <c r="D50" s="1"/>
    </row>
    <row r="51" spans="1:4" ht="14.45">
      <c r="A51" s="1"/>
      <c r="C51" s="2"/>
      <c r="D51" s="1"/>
    </row>
    <row r="52" spans="1:4" ht="14.45">
      <c r="A52" s="1"/>
      <c r="C52" s="2"/>
      <c r="D52" s="1"/>
    </row>
    <row r="53" spans="1:4" ht="14.45">
      <c r="A53" s="1"/>
      <c r="C53" s="2"/>
      <c r="D53" s="1"/>
    </row>
    <row r="54" spans="1:4" ht="14.45">
      <c r="A54" s="1"/>
      <c r="C54" s="2"/>
      <c r="D54" s="1"/>
    </row>
    <row r="55" spans="1:4" ht="14.45">
      <c r="A55" s="1"/>
      <c r="C55" s="2"/>
      <c r="D55" s="1"/>
    </row>
    <row r="58" spans="1:4" ht="14.45">
      <c r="A58" s="1"/>
      <c r="B58" s="1"/>
      <c r="C58" s="1"/>
      <c r="D58" s="1"/>
    </row>
    <row r="59" spans="1:4" ht="14.45">
      <c r="A59" s="1"/>
      <c r="C59" s="2"/>
      <c r="D59" s="1"/>
    </row>
    <row r="60" spans="1:4" ht="14.45">
      <c r="A60" s="1"/>
      <c r="C60" s="2"/>
      <c r="D60" s="1"/>
    </row>
    <row r="61" spans="1:4" ht="14.45">
      <c r="A61" s="1"/>
      <c r="C61" s="2"/>
      <c r="D61" s="1"/>
    </row>
    <row r="62" spans="1:4" ht="14.45">
      <c r="A62" s="1"/>
      <c r="C62" s="2"/>
      <c r="D62" s="1"/>
    </row>
    <row r="63" spans="1:4" ht="14.45">
      <c r="A63" s="1"/>
      <c r="C63" s="2"/>
      <c r="D63" s="1"/>
    </row>
    <row r="64" spans="1:4" ht="14.45">
      <c r="A64" s="1"/>
      <c r="C64" s="2"/>
      <c r="D64" s="1"/>
    </row>
    <row r="65" spans="1:4" ht="14.45">
      <c r="A65" s="1"/>
      <c r="C65" s="2"/>
      <c r="D65" s="1"/>
    </row>
    <row r="66" spans="1:4" ht="14.45">
      <c r="A66" s="1"/>
      <c r="C66" s="2"/>
      <c r="D66" s="1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64263-E9FF-43D5-95EC-A3E60E7C73CB}">
  <dimension ref="A1:E2"/>
  <sheetViews>
    <sheetView tabSelected="1" workbookViewId="0">
      <selection activeCell="C3" sqref="C3"/>
    </sheetView>
  </sheetViews>
  <sheetFormatPr defaultRowHeight="15"/>
  <cols>
    <col min="1" max="16384" width="9.140625" style="6"/>
  </cols>
  <sheetData>
    <row r="1" spans="1:5">
      <c r="A1" s="6" t="s">
        <v>8</v>
      </c>
      <c r="B1" s="6" t="s">
        <v>9</v>
      </c>
      <c r="C1" s="6" t="s">
        <v>10</v>
      </c>
      <c r="D1" s="6" t="s">
        <v>11</v>
      </c>
      <c r="E1" s="6" t="s">
        <v>12</v>
      </c>
    </row>
    <row r="2" spans="1:5">
      <c r="A2" s="6" t="s">
        <v>13</v>
      </c>
      <c r="B2" s="6">
        <v>2</v>
      </c>
      <c r="C2" s="6">
        <v>0.1</v>
      </c>
      <c r="D2" s="6">
        <v>1900</v>
      </c>
      <c r="E2" s="6">
        <v>2500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4DC91-2FEE-4D34-98A3-82932A3165E4}">
  <dimension ref="A1:H66"/>
  <sheetViews>
    <sheetView workbookViewId="0">
      <selection activeCell="D1" activeCellId="1" sqref="A1 D1"/>
    </sheetView>
  </sheetViews>
  <sheetFormatPr defaultRowHeight="15"/>
  <cols>
    <col min="1" max="1" width="25.42578125" customWidth="1"/>
    <col min="2" max="2" width="28.28515625" customWidth="1"/>
    <col min="3" max="3" width="25.140625" customWidth="1"/>
    <col min="4" max="4" width="20.5703125" customWidth="1"/>
    <col min="5" max="5" width="16.140625" customWidth="1"/>
    <col min="6" max="6" width="44.140625" customWidth="1"/>
    <col min="7" max="7" width="13.85546875" customWidth="1"/>
    <col min="8" max="8" width="9.28515625" bestFit="1" customWidth="1"/>
  </cols>
  <sheetData>
    <row r="1" spans="1:8">
      <c r="A1" s="8" t="s">
        <v>0</v>
      </c>
      <c r="B1" s="5" t="s">
        <v>1</v>
      </c>
      <c r="C1" s="5" t="s">
        <v>2</v>
      </c>
      <c r="D1" s="8" t="s">
        <v>3</v>
      </c>
      <c r="E1" s="6"/>
      <c r="F1" t="s">
        <v>4</v>
      </c>
      <c r="G1">
        <v>3500000</v>
      </c>
      <c r="H1" t="s">
        <v>14</v>
      </c>
    </row>
    <row r="2" spans="1:8">
      <c r="A2" s="1">
        <v>0</v>
      </c>
      <c r="B2">
        <v>0</v>
      </c>
      <c r="C2" s="2">
        <v>1950.1</v>
      </c>
      <c r="D2" s="1">
        <f>(B2/C2)*100</f>
        <v>0</v>
      </c>
      <c r="E2" s="7"/>
      <c r="F2" s="1"/>
    </row>
    <row r="3" spans="1:8">
      <c r="A3" s="1">
        <v>10</v>
      </c>
      <c r="B3">
        <v>99.048659999999998</v>
      </c>
      <c r="C3" s="2">
        <v>1950.1</v>
      </c>
      <c r="D3" s="1">
        <f>(B3/C3)*100</f>
        <v>5.0791579918978513</v>
      </c>
      <c r="E3" s="7"/>
      <c r="F3" s="1"/>
    </row>
    <row r="4" spans="1:8">
      <c r="A4" s="1">
        <v>20</v>
      </c>
      <c r="B4">
        <v>122.69354</v>
      </c>
      <c r="C4" s="2">
        <v>1950.1</v>
      </c>
      <c r="D4" s="1">
        <f>(B4/C4)*100</f>
        <v>6.2916537613455725</v>
      </c>
      <c r="E4" s="7"/>
      <c r="F4" s="1"/>
    </row>
    <row r="5" spans="1:8">
      <c r="A5" s="1">
        <v>30</v>
      </c>
      <c r="B5">
        <v>150.97816</v>
      </c>
      <c r="C5" s="2">
        <v>1950.1</v>
      </c>
      <c r="D5" s="1">
        <f>(B5/C5)*100</f>
        <v>7.7420727142197849</v>
      </c>
      <c r="E5" s="7"/>
      <c r="F5" s="1"/>
    </row>
    <row r="6" spans="1:8">
      <c r="A6" s="1">
        <v>35</v>
      </c>
      <c r="B6">
        <v>164.21894</v>
      </c>
      <c r="C6" s="2">
        <v>1950.1</v>
      </c>
      <c r="D6" s="1">
        <f>(B6/C6)*100</f>
        <v>8.4210522537305774</v>
      </c>
      <c r="E6" s="7"/>
      <c r="F6" s="1"/>
    </row>
    <row r="7" spans="1:8">
      <c r="A7" s="5"/>
      <c r="B7" s="5"/>
      <c r="C7" s="5"/>
      <c r="D7" s="5"/>
      <c r="E7" s="1"/>
      <c r="F7" s="1"/>
    </row>
    <row r="8" spans="1:8">
      <c r="A8" s="5"/>
      <c r="B8" s="5"/>
      <c r="C8" s="5"/>
      <c r="D8" s="5"/>
      <c r="E8" s="1"/>
      <c r="F8" s="1"/>
    </row>
    <row r="9" spans="1:8">
      <c r="A9" s="5"/>
      <c r="B9" s="5"/>
      <c r="C9" s="5"/>
      <c r="D9" s="5"/>
      <c r="E9" s="1"/>
      <c r="F9" s="1"/>
    </row>
    <row r="10" spans="1:8">
      <c r="E10" s="1"/>
      <c r="F10" s="1"/>
    </row>
    <row r="14" spans="1:8" ht="14.45">
      <c r="A14" s="1"/>
      <c r="B14" s="1"/>
      <c r="C14" s="1"/>
      <c r="D14" s="1"/>
    </row>
    <row r="15" spans="1:8" ht="14.45">
      <c r="A15" s="1"/>
      <c r="C15" s="2"/>
      <c r="D15" s="1"/>
    </row>
    <row r="16" spans="1:8" ht="14.45">
      <c r="A16" s="1"/>
      <c r="C16" s="2"/>
      <c r="D16" s="1"/>
    </row>
    <row r="17" spans="1:4" ht="14.45">
      <c r="A17" s="1"/>
      <c r="C17" s="2"/>
      <c r="D17" s="1"/>
    </row>
    <row r="18" spans="1:4" ht="14.45">
      <c r="A18" s="1"/>
      <c r="C18" s="2"/>
      <c r="D18" s="1"/>
    </row>
    <row r="19" spans="1:4" ht="14.45">
      <c r="A19" s="1"/>
      <c r="B19" s="4"/>
      <c r="C19" s="2"/>
      <c r="D19" s="1"/>
    </row>
    <row r="20" spans="1:4" ht="14.45">
      <c r="A20" s="1"/>
      <c r="C20" s="2"/>
      <c r="D20" s="1"/>
    </row>
    <row r="21" spans="1:4" ht="14.45">
      <c r="A21" s="1"/>
      <c r="C21" s="2"/>
      <c r="D21" s="1"/>
    </row>
    <row r="22" spans="1:4" ht="14.45">
      <c r="A22" s="1"/>
      <c r="C22" s="2"/>
      <c r="D22" s="1"/>
    </row>
    <row r="25" spans="1:4" ht="14.45">
      <c r="A25" s="1"/>
      <c r="B25" s="1"/>
      <c r="C25" s="1"/>
      <c r="D25" s="1"/>
    </row>
    <row r="26" spans="1:4" ht="14.45">
      <c r="A26" s="1"/>
      <c r="C26" s="2"/>
      <c r="D26" s="1"/>
    </row>
    <row r="27" spans="1:4" ht="14.45">
      <c r="A27" s="1"/>
      <c r="C27" s="2"/>
      <c r="D27" s="1"/>
    </row>
    <row r="28" spans="1:4" ht="14.45">
      <c r="A28" s="1"/>
      <c r="B28" s="3"/>
      <c r="C28" s="2"/>
      <c r="D28" s="1"/>
    </row>
    <row r="29" spans="1:4" ht="14.45">
      <c r="A29" s="1"/>
      <c r="C29" s="2"/>
      <c r="D29" s="1"/>
    </row>
    <row r="30" spans="1:4" ht="14.45">
      <c r="A30" s="1"/>
      <c r="C30" s="2"/>
      <c r="D30" s="1"/>
    </row>
    <row r="31" spans="1:4" ht="14.45">
      <c r="A31" s="1"/>
      <c r="C31" s="2"/>
      <c r="D31" s="1"/>
    </row>
    <row r="32" spans="1:4" ht="14.45">
      <c r="A32" s="1"/>
      <c r="C32" s="2"/>
      <c r="D32" s="1"/>
    </row>
    <row r="33" spans="1:4" ht="14.45">
      <c r="A33" s="1"/>
      <c r="C33" s="2"/>
      <c r="D33" s="1"/>
    </row>
    <row r="36" spans="1:4" ht="14.45">
      <c r="A36" s="1"/>
      <c r="B36" s="1"/>
      <c r="C36" s="1"/>
      <c r="D36" s="1"/>
    </row>
    <row r="37" spans="1:4" ht="14.45">
      <c r="A37" s="1"/>
      <c r="C37" s="2"/>
      <c r="D37" s="1"/>
    </row>
    <row r="38" spans="1:4" ht="14.45">
      <c r="A38" s="1"/>
      <c r="C38" s="2"/>
      <c r="D38" s="1"/>
    </row>
    <row r="39" spans="1:4" ht="14.45">
      <c r="A39" s="1"/>
      <c r="C39" s="2"/>
      <c r="D39" s="1"/>
    </row>
    <row r="40" spans="1:4" ht="14.45">
      <c r="A40" s="1"/>
      <c r="C40" s="2"/>
      <c r="D40" s="1"/>
    </row>
    <row r="41" spans="1:4" ht="14.45">
      <c r="A41" s="1"/>
      <c r="C41" s="2"/>
      <c r="D41" s="1"/>
    </row>
    <row r="42" spans="1:4" ht="14.45">
      <c r="A42" s="1"/>
      <c r="C42" s="2"/>
      <c r="D42" s="1"/>
    </row>
    <row r="43" spans="1:4" ht="14.45">
      <c r="A43" s="1"/>
      <c r="C43" s="2"/>
      <c r="D43" s="1"/>
    </row>
    <row r="44" spans="1:4" ht="14.45">
      <c r="A44" s="1"/>
      <c r="C44" s="2"/>
      <c r="D44" s="1"/>
    </row>
    <row r="47" spans="1:4" ht="14.45">
      <c r="A47" s="1"/>
      <c r="B47" s="1"/>
      <c r="C47" s="1"/>
      <c r="D47" s="1"/>
    </row>
    <row r="48" spans="1:4" ht="14.45">
      <c r="A48" s="1"/>
      <c r="C48" s="2"/>
      <c r="D48" s="1"/>
    </row>
    <row r="49" spans="1:4" ht="14.45">
      <c r="A49" s="1"/>
      <c r="C49" s="2"/>
      <c r="D49" s="1"/>
    </row>
    <row r="50" spans="1:4" ht="14.45">
      <c r="A50" s="1"/>
      <c r="C50" s="2"/>
      <c r="D50" s="1"/>
    </row>
    <row r="51" spans="1:4" ht="14.45">
      <c r="A51" s="1"/>
      <c r="C51" s="2"/>
      <c r="D51" s="1"/>
    </row>
    <row r="52" spans="1:4" ht="14.45">
      <c r="A52" s="1"/>
      <c r="C52" s="2"/>
      <c r="D52" s="1"/>
    </row>
    <row r="53" spans="1:4" ht="14.45">
      <c r="A53" s="1"/>
      <c r="C53" s="2"/>
      <c r="D53" s="1"/>
    </row>
    <row r="54" spans="1:4" ht="14.45">
      <c r="A54" s="1"/>
      <c r="C54" s="2"/>
      <c r="D54" s="1"/>
    </row>
    <row r="55" spans="1:4" ht="14.45">
      <c r="A55" s="1"/>
      <c r="C55" s="2"/>
      <c r="D55" s="1"/>
    </row>
    <row r="58" spans="1:4" ht="14.45">
      <c r="A58" s="1"/>
      <c r="B58" s="1"/>
      <c r="C58" s="1"/>
      <c r="D58" s="1"/>
    </row>
    <row r="59" spans="1:4" ht="14.45">
      <c r="A59" s="1"/>
      <c r="C59" s="2"/>
      <c r="D59" s="1"/>
    </row>
    <row r="60" spans="1:4" ht="14.45">
      <c r="A60" s="1"/>
      <c r="C60" s="2"/>
      <c r="D60" s="1"/>
    </row>
    <row r="61" spans="1:4" ht="14.45">
      <c r="A61" s="1"/>
      <c r="C61" s="2"/>
      <c r="D61" s="1"/>
    </row>
    <row r="62" spans="1:4" ht="14.45">
      <c r="A62" s="1"/>
      <c r="C62" s="2"/>
      <c r="D62" s="1"/>
    </row>
    <row r="63" spans="1:4" ht="14.45">
      <c r="A63" s="1"/>
      <c r="C63" s="2"/>
      <c r="D63" s="1"/>
    </row>
    <row r="64" spans="1:4" ht="14.45">
      <c r="A64" s="1"/>
      <c r="C64" s="2"/>
      <c r="D64" s="1"/>
    </row>
    <row r="65" spans="1:4" ht="14.45">
      <c r="A65" s="1"/>
      <c r="C65" s="2"/>
      <c r="D65" s="1"/>
    </row>
    <row r="66" spans="1:4" ht="14.45">
      <c r="A66" s="1"/>
      <c r="C66" s="2"/>
      <c r="D66" s="1"/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2E4F6-29CE-4F8A-B42A-6902EBE67361}">
  <dimension ref="A1:H66"/>
  <sheetViews>
    <sheetView workbookViewId="0">
      <selection activeCell="D1" activeCellId="1" sqref="A1 D1"/>
    </sheetView>
  </sheetViews>
  <sheetFormatPr defaultRowHeight="15"/>
  <cols>
    <col min="1" max="1" width="25.42578125" customWidth="1"/>
    <col min="2" max="2" width="28.28515625" customWidth="1"/>
    <col min="3" max="3" width="25.140625" customWidth="1"/>
    <col min="4" max="4" width="20.5703125" customWidth="1"/>
    <col min="5" max="5" width="16.140625" customWidth="1"/>
    <col min="6" max="6" width="44.140625" customWidth="1"/>
    <col min="7" max="7" width="13.85546875" customWidth="1"/>
    <col min="8" max="8" width="9.28515625" bestFit="1" customWidth="1"/>
  </cols>
  <sheetData>
    <row r="1" spans="1:8">
      <c r="A1" s="8" t="s">
        <v>0</v>
      </c>
      <c r="B1" s="5" t="s">
        <v>1</v>
      </c>
      <c r="C1" s="5" t="s">
        <v>2</v>
      </c>
      <c r="D1" s="8" t="s">
        <v>3</v>
      </c>
      <c r="E1" s="6"/>
      <c r="F1" t="s">
        <v>4</v>
      </c>
      <c r="G1">
        <v>3000000</v>
      </c>
      <c r="H1" t="s">
        <v>15</v>
      </c>
    </row>
    <row r="2" spans="1:8">
      <c r="A2" s="1">
        <v>0</v>
      </c>
      <c r="B2">
        <v>0</v>
      </c>
      <c r="C2" s="2">
        <v>1671.5</v>
      </c>
      <c r="D2" s="1">
        <f>(B2/C2)*100</f>
        <v>0</v>
      </c>
      <c r="E2" s="7"/>
      <c r="F2" s="1"/>
    </row>
    <row r="3" spans="1:8">
      <c r="A3" s="1">
        <v>10</v>
      </c>
      <c r="B3">
        <v>85.674508000000003</v>
      </c>
      <c r="C3" s="2">
        <v>1671.5</v>
      </c>
      <c r="D3" s="1">
        <f>(B3/C3)*100</f>
        <v>5.1256062219563265</v>
      </c>
      <c r="E3" s="7"/>
      <c r="F3" s="1"/>
    </row>
    <row r="4" spans="1:8">
      <c r="A4" s="1">
        <v>20</v>
      </c>
      <c r="B4">
        <v>105.19884</v>
      </c>
      <c r="C4" s="2">
        <v>1671.5</v>
      </c>
      <c r="D4" s="1">
        <f>(B4/C4)*100</f>
        <v>6.2936787316781331</v>
      </c>
      <c r="E4" s="7"/>
      <c r="F4" s="1"/>
    </row>
    <row r="5" spans="1:8">
      <c r="A5" s="1">
        <v>30</v>
      </c>
      <c r="B5">
        <v>124.62591</v>
      </c>
      <c r="C5" s="2">
        <v>1671.5</v>
      </c>
      <c r="D5" s="1">
        <f>(B5/C5)*100</f>
        <v>7.455932396051451</v>
      </c>
      <c r="E5" s="7"/>
      <c r="F5" s="1"/>
    </row>
    <row r="6" spans="1:8">
      <c r="A6" s="1">
        <v>35</v>
      </c>
      <c r="B6">
        <v>135.40718000000001</v>
      </c>
      <c r="C6" s="2">
        <v>1671.5</v>
      </c>
      <c r="D6" s="1">
        <f>(B6/C6)*100</f>
        <v>8.10093807956925</v>
      </c>
      <c r="E6" s="7"/>
      <c r="F6" s="1"/>
    </row>
    <row r="7" spans="1:8">
      <c r="A7" s="5"/>
      <c r="B7" s="5"/>
      <c r="C7" s="5"/>
      <c r="D7" s="5"/>
      <c r="E7" s="1"/>
      <c r="F7" s="1"/>
    </row>
    <row r="8" spans="1:8">
      <c r="A8" s="5"/>
      <c r="B8" s="5"/>
      <c r="C8" s="5"/>
      <c r="D8" s="5"/>
      <c r="E8" s="1"/>
      <c r="F8" s="1"/>
    </row>
    <row r="9" spans="1:8">
      <c r="A9" s="5"/>
      <c r="B9" s="5"/>
      <c r="C9" s="5"/>
      <c r="D9" s="5"/>
      <c r="E9" s="1"/>
      <c r="F9" s="1"/>
    </row>
    <row r="10" spans="1:8">
      <c r="E10" s="1"/>
      <c r="F10" s="1"/>
    </row>
    <row r="14" spans="1:8" ht="14.45">
      <c r="A14" s="1"/>
      <c r="B14" s="1"/>
      <c r="C14" s="1"/>
      <c r="D14" s="1"/>
    </row>
    <row r="15" spans="1:8" ht="14.45">
      <c r="A15" s="1"/>
      <c r="C15" s="2"/>
      <c r="D15" s="1"/>
    </row>
    <row r="16" spans="1:8" ht="14.45">
      <c r="A16" s="1"/>
      <c r="C16" s="2"/>
      <c r="D16" s="1"/>
    </row>
    <row r="17" spans="1:4" ht="14.45">
      <c r="A17" s="1"/>
      <c r="C17" s="2"/>
      <c r="D17" s="1"/>
    </row>
    <row r="18" spans="1:4" ht="14.45">
      <c r="A18" s="1"/>
      <c r="C18" s="2"/>
      <c r="D18" s="1"/>
    </row>
    <row r="19" spans="1:4" ht="14.45">
      <c r="A19" s="1"/>
      <c r="B19" s="4"/>
      <c r="C19" s="2"/>
      <c r="D19" s="1"/>
    </row>
    <row r="20" spans="1:4" ht="14.45">
      <c r="A20" s="1"/>
      <c r="C20" s="2"/>
      <c r="D20" s="1"/>
    </row>
    <row r="21" spans="1:4" ht="14.45">
      <c r="A21" s="1"/>
      <c r="C21" s="2"/>
      <c r="D21" s="1"/>
    </row>
    <row r="22" spans="1:4" ht="14.45">
      <c r="A22" s="1"/>
      <c r="C22" s="2"/>
      <c r="D22" s="1"/>
    </row>
    <row r="25" spans="1:4" ht="14.45">
      <c r="A25" s="1"/>
      <c r="B25" s="1"/>
      <c r="C25" s="1"/>
      <c r="D25" s="1"/>
    </row>
    <row r="26" spans="1:4" ht="14.45">
      <c r="A26" s="1"/>
      <c r="C26" s="2"/>
      <c r="D26" s="1"/>
    </row>
    <row r="27" spans="1:4" ht="14.45">
      <c r="A27" s="1"/>
      <c r="C27" s="2"/>
      <c r="D27" s="1"/>
    </row>
    <row r="28" spans="1:4" ht="14.45">
      <c r="A28" s="1"/>
      <c r="B28" s="3"/>
      <c r="C28" s="2"/>
      <c r="D28" s="1"/>
    </row>
    <row r="29" spans="1:4" ht="14.45">
      <c r="A29" s="1"/>
      <c r="C29" s="2"/>
      <c r="D29" s="1"/>
    </row>
    <row r="30" spans="1:4" ht="14.45">
      <c r="A30" s="1"/>
      <c r="C30" s="2"/>
      <c r="D30" s="1"/>
    </row>
    <row r="31" spans="1:4" ht="14.45">
      <c r="A31" s="1"/>
      <c r="C31" s="2"/>
      <c r="D31" s="1"/>
    </row>
    <row r="32" spans="1:4" ht="14.45">
      <c r="A32" s="1"/>
      <c r="C32" s="2"/>
      <c r="D32" s="1"/>
    </row>
    <row r="33" spans="1:4" ht="14.45">
      <c r="A33" s="1"/>
      <c r="C33" s="2"/>
      <c r="D33" s="1"/>
    </row>
    <row r="36" spans="1:4" ht="14.45">
      <c r="A36" s="1"/>
      <c r="B36" s="1"/>
      <c r="C36" s="1"/>
      <c r="D36" s="1"/>
    </row>
    <row r="37" spans="1:4" ht="14.45">
      <c r="A37" s="1"/>
      <c r="C37" s="2"/>
      <c r="D37" s="1"/>
    </row>
    <row r="38" spans="1:4" ht="14.45">
      <c r="A38" s="1"/>
      <c r="C38" s="2"/>
      <c r="D38" s="1"/>
    </row>
    <row r="39" spans="1:4" ht="14.45">
      <c r="A39" s="1"/>
      <c r="C39" s="2"/>
      <c r="D39" s="1"/>
    </row>
    <row r="40" spans="1:4" ht="14.45">
      <c r="A40" s="1"/>
      <c r="C40" s="2"/>
      <c r="D40" s="1"/>
    </row>
    <row r="41" spans="1:4" ht="14.45">
      <c r="A41" s="1"/>
      <c r="C41" s="2"/>
      <c r="D41" s="1"/>
    </row>
    <row r="42" spans="1:4" ht="14.45">
      <c r="A42" s="1"/>
      <c r="C42" s="2"/>
      <c r="D42" s="1"/>
    </row>
    <row r="43" spans="1:4" ht="14.45">
      <c r="A43" s="1"/>
      <c r="C43" s="2"/>
      <c r="D43" s="1"/>
    </row>
    <row r="44" spans="1:4" ht="14.45">
      <c r="A44" s="1"/>
      <c r="C44" s="2"/>
      <c r="D44" s="1"/>
    </row>
    <row r="47" spans="1:4" ht="14.45">
      <c r="A47" s="1"/>
      <c r="B47" s="1"/>
      <c r="C47" s="1"/>
      <c r="D47" s="1"/>
    </row>
    <row r="48" spans="1:4" ht="14.45">
      <c r="A48" s="1"/>
      <c r="C48" s="2"/>
      <c r="D48" s="1"/>
    </row>
    <row r="49" spans="1:4" ht="14.45">
      <c r="A49" s="1"/>
      <c r="C49" s="2"/>
      <c r="D49" s="1"/>
    </row>
    <row r="50" spans="1:4" ht="14.45">
      <c r="A50" s="1"/>
      <c r="C50" s="2"/>
      <c r="D50" s="1"/>
    </row>
    <row r="51" spans="1:4" ht="14.45">
      <c r="A51" s="1"/>
      <c r="C51" s="2"/>
      <c r="D51" s="1"/>
    </row>
    <row r="52" spans="1:4" ht="14.45">
      <c r="A52" s="1"/>
      <c r="C52" s="2"/>
      <c r="D52" s="1"/>
    </row>
    <row r="53" spans="1:4" ht="14.45">
      <c r="A53" s="1"/>
      <c r="C53" s="2"/>
      <c r="D53" s="1"/>
    </row>
    <row r="54" spans="1:4" ht="14.45">
      <c r="A54" s="1"/>
      <c r="C54" s="2"/>
      <c r="D54" s="1"/>
    </row>
    <row r="55" spans="1:4" ht="14.45">
      <c r="A55" s="1"/>
      <c r="C55" s="2"/>
      <c r="D55" s="1"/>
    </row>
    <row r="58" spans="1:4" ht="14.45">
      <c r="A58" s="1"/>
      <c r="B58" s="1"/>
      <c r="C58" s="1"/>
      <c r="D58" s="1"/>
    </row>
    <row r="59" spans="1:4" ht="14.45">
      <c r="A59" s="1"/>
      <c r="C59" s="2"/>
      <c r="D59" s="1"/>
    </row>
    <row r="60" spans="1:4" ht="14.45">
      <c r="A60" s="1"/>
      <c r="C60" s="2"/>
      <c r="D60" s="1"/>
    </row>
    <row r="61" spans="1:4" ht="14.45">
      <c r="A61" s="1"/>
      <c r="C61" s="2"/>
      <c r="D61" s="1"/>
    </row>
    <row r="62" spans="1:4" ht="14.45">
      <c r="A62" s="1"/>
      <c r="C62" s="2"/>
      <c r="D62" s="1"/>
    </row>
    <row r="63" spans="1:4" ht="14.45">
      <c r="A63" s="1"/>
      <c r="C63" s="2"/>
      <c r="D63" s="1"/>
    </row>
    <row r="64" spans="1:4" ht="14.45">
      <c r="A64" s="1"/>
      <c r="C64" s="2"/>
      <c r="D64" s="1"/>
    </row>
    <row r="65" spans="1:4" ht="14.45">
      <c r="A65" s="1"/>
      <c r="C65" s="2"/>
      <c r="D65" s="1"/>
    </row>
    <row r="66" spans="1:4" ht="14.45">
      <c r="A66" s="1"/>
      <c r="C66" s="2"/>
      <c r="D66" s="1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3989-ACE6-4A28-8416-CA725B39C165}">
  <dimension ref="A1:H66"/>
  <sheetViews>
    <sheetView workbookViewId="0">
      <selection activeCell="E10" sqref="E10"/>
    </sheetView>
  </sheetViews>
  <sheetFormatPr defaultRowHeight="15"/>
  <cols>
    <col min="1" max="1" width="25.42578125" customWidth="1"/>
    <col min="2" max="2" width="28.28515625" customWidth="1"/>
    <col min="3" max="3" width="25.140625" customWidth="1"/>
    <col min="4" max="4" width="20.5703125" customWidth="1"/>
    <col min="5" max="5" width="16.140625" customWidth="1"/>
    <col min="6" max="6" width="44.140625" customWidth="1"/>
    <col min="7" max="7" width="13.85546875" customWidth="1"/>
    <col min="8" max="8" width="9.28515625" bestFit="1" customWidth="1"/>
  </cols>
  <sheetData>
    <row r="1" spans="1:8">
      <c r="A1" s="8" t="s">
        <v>0</v>
      </c>
      <c r="B1" s="5" t="s">
        <v>1</v>
      </c>
      <c r="C1" s="5" t="s">
        <v>2</v>
      </c>
      <c r="D1" s="8" t="s">
        <v>3</v>
      </c>
      <c r="E1" s="6"/>
      <c r="F1" t="s">
        <v>4</v>
      </c>
      <c r="G1">
        <v>2500000</v>
      </c>
      <c r="H1" t="s">
        <v>16</v>
      </c>
    </row>
    <row r="2" spans="1:8">
      <c r="A2" s="1">
        <v>0</v>
      </c>
      <c r="B2">
        <v>0</v>
      </c>
      <c r="C2" s="2">
        <v>1392.9</v>
      </c>
      <c r="D2" s="1">
        <f>(B2/C2)*100</f>
        <v>0</v>
      </c>
      <c r="E2" s="7"/>
      <c r="F2" s="1"/>
    </row>
    <row r="3" spans="1:8">
      <c r="A3" s="1">
        <v>10</v>
      </c>
      <c r="B3">
        <v>72.828598</v>
      </c>
      <c r="C3" s="2">
        <v>1392.9</v>
      </c>
      <c r="D3" s="1">
        <f>(B3/C3)*100</f>
        <v>5.2285589776724812</v>
      </c>
      <c r="E3" s="7"/>
      <c r="F3" s="1"/>
    </row>
    <row r="4" spans="1:8">
      <c r="A4" s="1">
        <v>20</v>
      </c>
      <c r="B4">
        <v>85.342879999999994</v>
      </c>
      <c r="C4" s="2">
        <v>1392.9</v>
      </c>
      <c r="D4" s="1">
        <f>(B4/C4)*100</f>
        <v>6.1269926053557322</v>
      </c>
      <c r="E4" s="7"/>
      <c r="F4" s="1"/>
    </row>
    <row r="5" spans="1:8">
      <c r="A5" s="1">
        <v>30</v>
      </c>
      <c r="B5">
        <v>100.45492</v>
      </c>
      <c r="C5" s="2">
        <v>1392.9</v>
      </c>
      <c r="D5" s="1">
        <f>(B5/C5)*100</f>
        <v>7.2119261971426516</v>
      </c>
      <c r="E5" s="7"/>
      <c r="F5" s="1"/>
    </row>
    <row r="6" spans="1:8">
      <c r="A6" s="1">
        <v>35</v>
      </c>
      <c r="B6">
        <v>110.43879</v>
      </c>
      <c r="C6" s="2">
        <v>1392.9</v>
      </c>
      <c r="D6" s="1">
        <f>(B6/C6)*100</f>
        <v>7.9286948093904801</v>
      </c>
      <c r="E6" s="7"/>
      <c r="F6" s="1"/>
    </row>
    <row r="7" spans="1:8">
      <c r="A7" s="5"/>
      <c r="B7" s="5"/>
      <c r="C7" s="5"/>
      <c r="D7" s="5"/>
      <c r="E7" s="1"/>
      <c r="F7" s="1"/>
    </row>
    <row r="8" spans="1:8">
      <c r="A8" s="5"/>
      <c r="B8" s="5"/>
      <c r="C8" s="5"/>
      <c r="D8" s="5"/>
      <c r="E8" s="1"/>
      <c r="F8" s="1"/>
    </row>
    <row r="9" spans="1:8">
      <c r="A9" s="5"/>
      <c r="B9" s="5"/>
      <c r="C9" s="5"/>
      <c r="D9" s="5"/>
      <c r="E9" s="1"/>
      <c r="F9" s="1"/>
    </row>
    <row r="10" spans="1:8">
      <c r="E10" s="1"/>
      <c r="F10" s="1"/>
    </row>
    <row r="14" spans="1:8" ht="14.45">
      <c r="A14" s="1"/>
      <c r="B14" s="1"/>
      <c r="C14" s="1"/>
      <c r="D14" s="1"/>
    </row>
    <row r="15" spans="1:8" ht="14.45">
      <c r="A15" s="1"/>
      <c r="C15" s="2"/>
      <c r="D15" s="1"/>
    </row>
    <row r="16" spans="1:8" ht="14.45">
      <c r="A16" s="1"/>
      <c r="C16" s="2"/>
      <c r="D16" s="1"/>
    </row>
    <row r="17" spans="1:4" ht="14.45">
      <c r="A17" s="1"/>
      <c r="C17" s="2"/>
      <c r="D17" s="1"/>
    </row>
    <row r="18" spans="1:4" ht="14.45">
      <c r="A18" s="1"/>
      <c r="C18" s="2"/>
      <c r="D18" s="1"/>
    </row>
    <row r="19" spans="1:4" ht="14.45">
      <c r="A19" s="1"/>
      <c r="B19" s="4"/>
      <c r="C19" s="2"/>
      <c r="D19" s="1"/>
    </row>
    <row r="20" spans="1:4" ht="14.45">
      <c r="A20" s="1"/>
      <c r="C20" s="2"/>
      <c r="D20" s="1"/>
    </row>
    <row r="21" spans="1:4" ht="14.45">
      <c r="A21" s="1"/>
      <c r="C21" s="2"/>
      <c r="D21" s="1"/>
    </row>
    <row r="22" spans="1:4" ht="14.45">
      <c r="A22" s="1"/>
      <c r="C22" s="2"/>
      <c r="D22" s="1"/>
    </row>
    <row r="25" spans="1:4" ht="14.45">
      <c r="A25" s="1"/>
      <c r="B25" s="1"/>
      <c r="C25" s="1"/>
      <c r="D25" s="1"/>
    </row>
    <row r="26" spans="1:4" ht="14.45">
      <c r="A26" s="1"/>
      <c r="C26" s="2"/>
      <c r="D26" s="1"/>
    </row>
    <row r="27" spans="1:4" ht="14.45">
      <c r="A27" s="1"/>
      <c r="C27" s="2"/>
      <c r="D27" s="1"/>
    </row>
    <row r="28" spans="1:4" ht="14.45">
      <c r="A28" s="1"/>
      <c r="B28" s="3"/>
      <c r="C28" s="2"/>
      <c r="D28" s="1"/>
    </row>
    <row r="29" spans="1:4" ht="14.45">
      <c r="A29" s="1"/>
      <c r="C29" s="2"/>
      <c r="D29" s="1"/>
    </row>
    <row r="30" spans="1:4" ht="14.45">
      <c r="A30" s="1"/>
      <c r="C30" s="2"/>
      <c r="D30" s="1"/>
    </row>
    <row r="31" spans="1:4" ht="14.45">
      <c r="A31" s="1"/>
      <c r="C31" s="2"/>
      <c r="D31" s="1"/>
    </row>
    <row r="32" spans="1:4" ht="14.45">
      <c r="A32" s="1"/>
      <c r="C32" s="2"/>
      <c r="D32" s="1"/>
    </row>
    <row r="33" spans="1:4" ht="14.45">
      <c r="A33" s="1"/>
      <c r="C33" s="2"/>
      <c r="D33" s="1"/>
    </row>
    <row r="36" spans="1:4" ht="14.45">
      <c r="A36" s="1"/>
      <c r="B36" s="1"/>
      <c r="C36" s="1"/>
      <c r="D36" s="1"/>
    </row>
    <row r="37" spans="1:4" ht="14.45">
      <c r="A37" s="1"/>
      <c r="C37" s="2"/>
      <c r="D37" s="1"/>
    </row>
    <row r="38" spans="1:4" ht="14.45">
      <c r="A38" s="1"/>
      <c r="C38" s="2"/>
      <c r="D38" s="1"/>
    </row>
    <row r="39" spans="1:4" ht="14.45">
      <c r="A39" s="1"/>
      <c r="C39" s="2"/>
      <c r="D39" s="1"/>
    </row>
    <row r="40" spans="1:4" ht="14.45">
      <c r="A40" s="1"/>
      <c r="C40" s="2"/>
      <c r="D40" s="1"/>
    </row>
    <row r="41" spans="1:4" ht="14.45">
      <c r="A41" s="1"/>
      <c r="C41" s="2"/>
      <c r="D41" s="1"/>
    </row>
    <row r="42" spans="1:4" ht="14.45">
      <c r="A42" s="1"/>
      <c r="C42" s="2"/>
      <c r="D42" s="1"/>
    </row>
    <row r="43" spans="1:4" ht="14.45">
      <c r="A43" s="1"/>
      <c r="C43" s="2"/>
      <c r="D43" s="1"/>
    </row>
    <row r="44" spans="1:4" ht="14.45">
      <c r="A44" s="1"/>
      <c r="C44" s="2"/>
      <c r="D44" s="1"/>
    </row>
    <row r="47" spans="1:4" ht="14.45">
      <c r="A47" s="1"/>
      <c r="B47" s="1"/>
      <c r="C47" s="1"/>
      <c r="D47" s="1"/>
    </row>
    <row r="48" spans="1:4" ht="14.45">
      <c r="A48" s="1"/>
      <c r="C48" s="2"/>
      <c r="D48" s="1"/>
    </row>
    <row r="49" spans="1:4" ht="14.45">
      <c r="A49" s="1"/>
      <c r="C49" s="2"/>
      <c r="D49" s="1"/>
    </row>
    <row r="50" spans="1:4" ht="14.45">
      <c r="A50" s="1"/>
      <c r="C50" s="2"/>
      <c r="D50" s="1"/>
    </row>
    <row r="51" spans="1:4" ht="14.45">
      <c r="A51" s="1"/>
      <c r="C51" s="2"/>
      <c r="D51" s="1"/>
    </row>
    <row r="52" spans="1:4" ht="14.45">
      <c r="A52" s="1"/>
      <c r="C52" s="2"/>
      <c r="D52" s="1"/>
    </row>
    <row r="53" spans="1:4" ht="14.45">
      <c r="A53" s="1"/>
      <c r="C53" s="2"/>
      <c r="D53" s="1"/>
    </row>
    <row r="54" spans="1:4" ht="14.45">
      <c r="A54" s="1"/>
      <c r="C54" s="2"/>
      <c r="D54" s="1"/>
    </row>
    <row r="55" spans="1:4" ht="14.45">
      <c r="A55" s="1"/>
      <c r="C55" s="2"/>
      <c r="D55" s="1"/>
    </row>
    <row r="58" spans="1:4" ht="14.45">
      <c r="A58" s="1"/>
      <c r="B58" s="1"/>
      <c r="C58" s="1"/>
      <c r="D58" s="1"/>
    </row>
    <row r="59" spans="1:4" ht="14.45">
      <c r="A59" s="1"/>
      <c r="C59" s="2"/>
      <c r="D59" s="1"/>
    </row>
    <row r="60" spans="1:4" ht="14.45">
      <c r="A60" s="1"/>
      <c r="C60" s="2"/>
      <c r="D60" s="1"/>
    </row>
    <row r="61" spans="1:4" ht="14.45">
      <c r="A61" s="1"/>
      <c r="C61" s="2"/>
      <c r="D61" s="1"/>
    </row>
    <row r="62" spans="1:4" ht="14.45">
      <c r="A62" s="1"/>
      <c r="C62" s="2"/>
      <c r="D62" s="1"/>
    </row>
    <row r="63" spans="1:4" ht="14.45">
      <c r="A63" s="1"/>
      <c r="C63" s="2"/>
      <c r="D63" s="1"/>
    </row>
    <row r="64" spans="1:4" ht="14.45">
      <c r="A64" s="1"/>
      <c r="C64" s="2"/>
      <c r="D64" s="1"/>
    </row>
    <row r="65" spans="1:4" ht="14.45">
      <c r="A65" s="1"/>
      <c r="C65" s="2"/>
      <c r="D65" s="1"/>
    </row>
    <row r="66" spans="1:4" ht="14.45">
      <c r="A66" s="1"/>
      <c r="C66" s="2"/>
      <c r="D66" s="1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528f72a-a5a7-4ac9-856a-c69d498d69c8">
      <Terms xmlns="http://schemas.microsoft.com/office/infopath/2007/PartnerControls"/>
    </lcf76f155ced4ddcb4097134ff3c332f>
    <TaxCatchAll xmlns="b7e036dd-8d27-41ca-9fa2-4b436fbd790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DAB9CC859D1C4CB179348CE403E879" ma:contentTypeVersion="14" ma:contentTypeDescription="Create a new document." ma:contentTypeScope="" ma:versionID="cfd6ae72aa88551aed5038cedbfc4c1a">
  <xsd:schema xmlns:xsd="http://www.w3.org/2001/XMLSchema" xmlns:xs="http://www.w3.org/2001/XMLSchema" xmlns:p="http://schemas.microsoft.com/office/2006/metadata/properties" xmlns:ns2="e528f72a-a5a7-4ac9-856a-c69d498d69c8" xmlns:ns3="b7e036dd-8d27-41ca-9fa2-4b436fbd790f" targetNamespace="http://schemas.microsoft.com/office/2006/metadata/properties" ma:root="true" ma:fieldsID="5dacd101c489e3b84791573f54973885" ns2:_="" ns3:_="">
    <xsd:import namespace="e528f72a-a5a7-4ac9-856a-c69d498d69c8"/>
    <xsd:import namespace="b7e036dd-8d27-41ca-9fa2-4b436fbd790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28f72a-a5a7-4ac9-856a-c69d498d69c8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036dd-8d27-41ca-9fa2-4b436fbd790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7a4d18a9-8c28-4201-991d-e4d0f686bd82}" ma:internalName="TaxCatchAll" ma:showField="CatchAllData" ma:web="b7e036dd-8d27-41ca-9fa2-4b436fbd79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6C3867-CA74-4852-9977-93B3E54A568A}"/>
</file>

<file path=customXml/itemProps2.xml><?xml version="1.0" encoding="utf-8"?>
<ds:datastoreItem xmlns:ds="http://schemas.openxmlformats.org/officeDocument/2006/customXml" ds:itemID="{1EC0201E-6B58-430B-A65D-400E4B715933}"/>
</file>

<file path=customXml/itemProps3.xml><?xml version="1.0" encoding="utf-8"?>
<ds:datastoreItem xmlns:ds="http://schemas.openxmlformats.org/officeDocument/2006/customXml" ds:itemID="{AF90E14C-F198-4457-808F-343FE3B11D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2024-11-15T00:18:25Z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0x010100EDDAB9CC859D1C4CB179348CE403E879</vt:lpwstr>
  </property>
  <property fmtid="{D5CDD505-2E9C-101B-9397-08002B2CF9AE}" pid="3" name="MediaServiceImageTags">
    <vt:lpwstr/>
  </property>
</Properties>
</file>